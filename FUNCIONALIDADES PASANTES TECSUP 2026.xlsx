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Enriquez\Downloads\"/>
    </mc:Choice>
  </mc:AlternateContent>
  <xr:revisionPtr revIDLastSave="0" documentId="13_ncr:1_{20F68E89-4CB2-4FFF-88F2-979CDD3F8EED}" xr6:coauthVersionLast="47" xr6:coauthVersionMax="47" xr10:uidLastSave="{00000000-0000-0000-0000-000000000000}"/>
  <bookViews>
    <workbookView xWindow="-120" yWindow="-120" windowWidth="29040" windowHeight="15720" xr2:uid="{2F45D80A-2FC6-42C9-9E1D-76D3C884A6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</calcChain>
</file>

<file path=xl/sharedStrings.xml><?xml version="1.0" encoding="utf-8"?>
<sst xmlns="http://schemas.openxmlformats.org/spreadsheetml/2006/main" count="162" uniqueCount="84">
  <si>
    <t>MATRIZ DE EVALUACIÓN DE ALCANCE Y FUNCIONALIDADES</t>
  </si>
  <si>
    <t>Optimización y digitalización del almacén de herramientas del área de mantenimiento de servicios generales bajo metodología 5s para la agilización de órdenes de trabajo</t>
  </si>
  <si>
    <t>Fecha de inicio</t>
  </si>
  <si>
    <t>Fecha de fin</t>
  </si>
  <si>
    <t>Proyecto 1:</t>
  </si>
  <si>
    <t>Proyecto 2:</t>
  </si>
  <si>
    <t>Implementación del sistema de registro y control automatizado de ciclo de vida de activos de mobiliario</t>
  </si>
  <si>
    <t>Proyecto relacionado</t>
  </si>
  <si>
    <t>Creación de OTs/OS, Checklists de Limpieza y Descuento automático de Stock de Repuestos.</t>
  </si>
  <si>
    <t>Mapeo visual interactivo de Activos sobre el plano físico de Oficinas y Planta.</t>
  </si>
  <si>
    <t>Captura de foto con cámara móvil, compresión automática y subida a la nube para cierre de OTs.</t>
  </si>
  <si>
    <t>Modelo Relacional Entre tablas sobre las entidades relativas a Almacén-Solicitudes de Trabajo-Activos conectadas mediantes claves principales y foraneas</t>
  </si>
  <si>
    <t>Ambos</t>
  </si>
  <si>
    <t>Escaneo QR por cámara nativa en móvil + Digitación manual</t>
  </si>
  <si>
    <t>Realizar el ordenamiento físico del almacén y la aplicación de la metodología 5S.</t>
  </si>
  <si>
    <t>Generación de ficha digital de inspección, en donde se verifique la aptitud de las herramientas</t>
  </si>
  <si>
    <t>Necesidad Técnica</t>
  </si>
  <si>
    <t>Funcionalidad</t>
  </si>
  <si>
    <t>Descripción de actividad</t>
  </si>
  <si>
    <t>Requerimiento</t>
  </si>
  <si>
    <t>Redes+Desarrollo</t>
  </si>
  <si>
    <t>G.Maquinaria+Seguridad</t>
  </si>
  <si>
    <t>Especialidad Responsable</t>
  </si>
  <si>
    <t>Item</t>
  </si>
  <si>
    <t>Arquitectura de Datos</t>
  </si>
  <si>
    <t>Captura Híbrida de Datos</t>
  </si>
  <si>
    <t>Orden físico de almacén y rotulado de 5S</t>
  </si>
  <si>
    <t>Clasificación e inventario de almacén por familias</t>
  </si>
  <si>
    <t>Fase de implementación en base de Oficina FM</t>
  </si>
  <si>
    <t>Adaptación fluida a Celulares/ Tablets/ Laptops que permita el uso de la cámara para la toma de reportes.</t>
  </si>
  <si>
    <t>Elaboración de pantallas para flujo de gestión de Ciclo de Activos</t>
  </si>
  <si>
    <t>Elaboración de pantallas para flujo de gestión de Mantenimiento (OT,OS,OL)</t>
  </si>
  <si>
    <t>Notificación a usuarios</t>
  </si>
  <si>
    <t>Capacidad para notificar a usuarios la asignación de un mobiliario mediante correos automáticos y notificaciones push.</t>
  </si>
  <si>
    <t>Capacidad para notificar a usuarios mediante envío de correos automáticos y notificaciones push la programación/ejecución de solicitudes de trabajo</t>
  </si>
  <si>
    <t>Creación de QR</t>
  </si>
  <si>
    <t>Generar y almacenar códigos QR únicos para los activos</t>
  </si>
  <si>
    <t>Creación de nuevo Activo, Asignación a espacio físico, asignación a usuario, baja del activo</t>
  </si>
  <si>
    <t>Hoja resumen del activo (Asset Summary Sheet)</t>
  </si>
  <si>
    <t>Elaboración de pantallas y que muestre el documento con: Información General del Acitvo: Nombre, descripción, categoría y número de serie del equipo o bien.Ubicación física actual y responsable asignado. Costo de adquisición, fecha de compra. Historial de reparaciones, estado operativo y próximas revisiones técnicas.</t>
  </si>
  <si>
    <t xml:space="preserve">Generación de alertas de control de stock mínimo </t>
  </si>
  <si>
    <t xml:space="preserve">Dashboard de KPIs </t>
  </si>
  <si>
    <t>Elaboración de dashboard e indicadores de Gestión de Mantenimiento, Almacén y Suministros y Activos</t>
  </si>
  <si>
    <t>Realizar la abstracción de qué información puede ver el usuario/operario/supervisor/administrador para las pantallas de visualización</t>
  </si>
  <si>
    <t>Historial de trazabilidad</t>
  </si>
  <si>
    <t>Generación de qué insumos o herramientas se usaron para una solicitud de trabajo y qué técnico realizó el retiro</t>
  </si>
  <si>
    <t>Trazabilidad de entradas y salidas de almacén</t>
  </si>
  <si>
    <t>Documentación</t>
  </si>
  <si>
    <t>Manuales de uso</t>
  </si>
  <si>
    <t>Modelamiento: Elaboración de diagrama de procesos y flujo de datos</t>
  </si>
  <si>
    <t>Modelamiento: Elaboración de diagrama entidad relación</t>
  </si>
  <si>
    <t>Control de roles y accesos</t>
  </si>
  <si>
    <t>Carga de información de cierre de trabajos</t>
  </si>
  <si>
    <t>Carga de imagen de evidencias de ejecución de trabajos, tiempo utilizado, materiales usados.</t>
  </si>
  <si>
    <t>Fase de capacitación al personal</t>
  </si>
  <si>
    <t>Fase de pruebas (QA)</t>
  </si>
  <si>
    <t>Ejecución de pruebas de campo con operarios reales para evaluar velocidad de lectura QR, usabilidad en zonas de baja señal y corrección de bugs.</t>
  </si>
  <si>
    <t>Carga inicial de datos</t>
  </si>
  <si>
    <t>Importación final del catálogo completo de activos validados y el conteo de stock inicial del almacén  a la base de datos oficial.</t>
  </si>
  <si>
    <r>
      <t>Redacción de la documentación técnica y operativa en formato digital/impreso (</t>
    </r>
    <r>
      <rPr>
        <i/>
        <sz val="11"/>
        <color theme="1"/>
        <rFont val="Aptos Narrow"/>
        <family val="2"/>
        <scheme val="minor"/>
      </rPr>
      <t>Manual de Usuario, Manual de Administración y Cartillas de bolsillo para operarios</t>
    </r>
    <r>
      <rPr>
        <sz val="11"/>
        <color theme="1"/>
        <rFont val="Aptos Narrow"/>
        <family val="2"/>
        <scheme val="minor"/>
      </rPr>
      <t>)</t>
    </r>
  </si>
  <si>
    <t>Sesiones de entrenamiento práctico para los técnicos de mantenimiento, personal de limpieza y encargados de almacén sobre el uso de la app.</t>
  </si>
  <si>
    <t>Despliegue oficial del sistema, habilitando el uso en producción y reemplazando los formatos actuales.</t>
  </si>
  <si>
    <t>Política de Respaldo y Archivado de Datos</t>
  </si>
  <si>
    <t>Definición de reglas de limpieza y archivado anual de registros históricos para no saturar la base de datos. ¿Qué sucede si el año cambia o el sistema se vuelve lento por la cantidad de información?</t>
  </si>
  <si>
    <t>Prueba de Carga y Rendimiento en Simultáneo</t>
  </si>
  <si>
    <t>Simulación de uso donde 5 o 10 usuarios crean OTs, escanean QRs y suben fotos al mismo tiempo para garantizar que la aplicación no se congele ni generen conflictos de edición simultánea</t>
  </si>
  <si>
    <t>Evaluar el estado de las existencias actuales de almacén y realizar el inventario</t>
  </si>
  <si>
    <t>G.Maquinaria+Seguridad+Desarrollo</t>
  </si>
  <si>
    <t>Creación de OTs/OS, Asiganción de personal técnico, asignación de materiales, flujo de validación con supervisor, administrador antes de usuario</t>
  </si>
  <si>
    <t>Calificación de satisfación de OT</t>
  </si>
  <si>
    <t>Generar una pantalla antes luego de la validación por el supervisor y antes de la validación final del usuario en donde de conformidad y califique el trabajo(en el caso de las OTyOS) y en el caso de las actividades de eventos en (OL)</t>
  </si>
  <si>
    <t>Capacidad para almacenar historial de trazabilidad de trabajos/activo y agruparlos por espacio/usuarios/especialidad/activo.</t>
  </si>
  <si>
    <t>Identifación de componentes</t>
  </si>
  <si>
    <t>Identificación de componentes del activo y generación de su relación con el inventario de almacén</t>
  </si>
  <si>
    <t>Todos</t>
  </si>
  <si>
    <t>Mapeo de los flujos de mantenimiento, recepción de repuestos y ciclo de vida de los activos en Incalpaca. Metodología de llenado de inspecciones, cronograma de rotulación. Criterios técnicos de inspección</t>
  </si>
  <si>
    <t>Elaboración de 1 diagrama de entidad relación que incluya ambos proyectos, identificando las claves primarias y foraneas que enlazarán toda la información</t>
  </si>
  <si>
    <t>Elaborar diagramas de procesos y flujo de datos sobre el funcionamiento de las actividades en el área de FM para la gestión del mantenimiento, ciclo de vida del activo.</t>
  </si>
  <si>
    <t>Alertas de stocks, punto de reorden</t>
  </si>
  <si>
    <t>Geolocalización (Plano XY)</t>
  </si>
  <si>
    <t>Evidencia Fotográfica</t>
  </si>
  <si>
    <t>Multi-dispositivo (UX/UI)</t>
  </si>
  <si>
    <t>Generación de checklist dinámicos de inspección de herramientas</t>
  </si>
  <si>
    <t>Mantenimiento y 5S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</si>
</sst>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/>
    <xf numFmtId="0" fontId="3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3" fillId="0" borderId="1" xfId="0" applyFont="1" applyFill="1" applyBorder="1" applyAlignment="1">
      <alignment horizontal="left" vertical="center" wrapText="1" indent="1"/>
    </xf>
    <xf numFmtId="0" fontId="2" fillId="0" borderId="1" xfId="0" applyFont="1" applyFill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14" fontId="0" fillId="0" borderId="2" xfId="0" applyNumberFormat="1" applyBorder="1"/>
    <xf numFmtId="0" fontId="1" fillId="0" borderId="1" xfId="0" applyFont="1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0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B994B-D00F-400A-AC3B-D9AF095E497A}">
  <dimension ref="A1:I38"/>
  <sheetViews>
    <sheetView tabSelected="1" topLeftCell="A33" workbookViewId="0">
      <selection activeCell="E27" sqref="E27"/>
    </sheetView>
  </sheetViews>
  <sheetFormatPr baseColWidth="10" defaultRowHeight="14.25"/>
  <cols>
    <col min="1" max="1" width="4.375" customWidth="1"/>
    <col min="2" max="2" width="53.375" bestFit="1" customWidth="1"/>
    <col min="3" max="3" width="40.375" bestFit="1" customWidth="1"/>
    <col min="4" max="4" width="18.125" bestFit="1" customWidth="1"/>
    <col min="5" max="5" width="14" customWidth="1"/>
    <col min="6" max="6" width="21.125" bestFit="1" customWidth="1"/>
  </cols>
  <sheetData>
    <row r="1" spans="1:9">
      <c r="A1" s="11" t="s">
        <v>0</v>
      </c>
      <c r="B1" s="11"/>
      <c r="C1" s="11"/>
      <c r="D1" s="11"/>
      <c r="E1" s="11"/>
      <c r="F1" s="20"/>
      <c r="G1" s="2"/>
      <c r="H1" s="2"/>
    </row>
    <row r="2" spans="1:9" ht="48.75" customHeight="1">
      <c r="A2" s="21" t="s">
        <v>4</v>
      </c>
      <c r="B2" s="22"/>
      <c r="C2" s="5" t="s">
        <v>1</v>
      </c>
      <c r="D2" s="5"/>
      <c r="E2" s="5"/>
      <c r="F2" s="5"/>
      <c r="G2" s="3"/>
      <c r="H2" s="3"/>
      <c r="I2" s="1"/>
    </row>
    <row r="3" spans="1:9" ht="40.5" customHeight="1">
      <c r="A3" s="21" t="s">
        <v>5</v>
      </c>
      <c r="B3" s="22"/>
      <c r="C3" s="5" t="s">
        <v>6</v>
      </c>
      <c r="D3" s="5"/>
      <c r="E3" s="5"/>
      <c r="F3" s="5"/>
      <c r="G3" s="3"/>
      <c r="H3" s="3"/>
      <c r="I3" s="1"/>
    </row>
    <row r="4" spans="1:9">
      <c r="A4" s="23" t="s">
        <v>2</v>
      </c>
      <c r="B4" s="24"/>
      <c r="C4" s="18">
        <v>46216</v>
      </c>
      <c r="D4" s="17" t="s">
        <v>3</v>
      </c>
      <c r="E4" s="18">
        <v>46248</v>
      </c>
      <c r="F4" s="17"/>
    </row>
    <row r="5" spans="1:9" ht="30" customHeight="1">
      <c r="A5" s="4" t="s">
        <v>23</v>
      </c>
      <c r="B5" s="4" t="s">
        <v>17</v>
      </c>
      <c r="C5" s="4" t="s">
        <v>18</v>
      </c>
      <c r="D5" s="6" t="s">
        <v>7</v>
      </c>
      <c r="E5" s="10" t="s">
        <v>16</v>
      </c>
      <c r="F5" s="13" t="s">
        <v>22</v>
      </c>
    </row>
    <row r="6" spans="1:9" ht="56.25" customHeight="1">
      <c r="A6" s="4">
        <v>0</v>
      </c>
      <c r="B6" s="7" t="s">
        <v>49</v>
      </c>
      <c r="C6" s="10" t="s">
        <v>77</v>
      </c>
      <c r="D6" s="9" t="s">
        <v>12</v>
      </c>
      <c r="E6" s="12" t="s">
        <v>19</v>
      </c>
      <c r="F6" s="9" t="s">
        <v>20</v>
      </c>
    </row>
    <row r="7" spans="1:9" ht="57">
      <c r="A7" s="4">
        <f>A6+1</f>
        <v>1</v>
      </c>
      <c r="B7" s="7" t="s">
        <v>50</v>
      </c>
      <c r="C7" s="8" t="s">
        <v>76</v>
      </c>
      <c r="D7" s="9" t="s">
        <v>12</v>
      </c>
      <c r="E7" s="12" t="s">
        <v>19</v>
      </c>
      <c r="F7" s="9" t="s">
        <v>20</v>
      </c>
    </row>
    <row r="8" spans="1:9" ht="57">
      <c r="A8" s="4">
        <f t="shared" ref="A8:A38" si="0">A7+1</f>
        <v>2</v>
      </c>
      <c r="B8" s="7" t="s">
        <v>24</v>
      </c>
      <c r="C8" s="8" t="s">
        <v>11</v>
      </c>
      <c r="D8" s="9" t="s">
        <v>12</v>
      </c>
      <c r="E8" s="9" t="s">
        <v>19</v>
      </c>
      <c r="F8" s="9" t="s">
        <v>20</v>
      </c>
    </row>
    <row r="9" spans="1:9" ht="57">
      <c r="A9" s="4">
        <f t="shared" si="0"/>
        <v>3</v>
      </c>
      <c r="B9" s="7" t="s">
        <v>51</v>
      </c>
      <c r="C9" s="8" t="s">
        <v>43</v>
      </c>
      <c r="D9" s="9" t="s">
        <v>12</v>
      </c>
      <c r="E9" s="9" t="s">
        <v>19</v>
      </c>
      <c r="F9" s="9" t="s">
        <v>20</v>
      </c>
    </row>
    <row r="10" spans="1:9" ht="28.5">
      <c r="A10" s="4">
        <f t="shared" si="0"/>
        <v>4</v>
      </c>
      <c r="B10" s="14" t="s">
        <v>35</v>
      </c>
      <c r="C10" s="15" t="s">
        <v>36</v>
      </c>
      <c r="D10" s="9">
        <v>2</v>
      </c>
      <c r="E10" s="9" t="s">
        <v>19</v>
      </c>
      <c r="F10" s="9" t="s">
        <v>20</v>
      </c>
    </row>
    <row r="11" spans="1:9" ht="28.5">
      <c r="A11" s="4">
        <f t="shared" si="0"/>
        <v>5</v>
      </c>
      <c r="B11" s="7" t="s">
        <v>25</v>
      </c>
      <c r="C11" s="8" t="s">
        <v>13</v>
      </c>
      <c r="D11" s="9">
        <v>2</v>
      </c>
      <c r="E11" s="9" t="s">
        <v>19</v>
      </c>
      <c r="F11" s="9" t="s">
        <v>20</v>
      </c>
    </row>
    <row r="12" spans="1:9" ht="28.5">
      <c r="A12" s="4">
        <f t="shared" si="0"/>
        <v>6</v>
      </c>
      <c r="B12" s="7" t="s">
        <v>26</v>
      </c>
      <c r="C12" s="8" t="s">
        <v>14</v>
      </c>
      <c r="D12" s="9">
        <v>1</v>
      </c>
      <c r="E12" s="9" t="s">
        <v>19</v>
      </c>
      <c r="F12" s="9" t="s">
        <v>21</v>
      </c>
    </row>
    <row r="13" spans="1:9" ht="28.5">
      <c r="A13" s="4">
        <f t="shared" si="0"/>
        <v>7</v>
      </c>
      <c r="B13" s="7" t="s">
        <v>27</v>
      </c>
      <c r="C13" s="8" t="s">
        <v>66</v>
      </c>
      <c r="D13" s="9">
        <v>1</v>
      </c>
      <c r="E13" s="9" t="s">
        <v>19</v>
      </c>
      <c r="F13" s="12" t="s">
        <v>67</v>
      </c>
    </row>
    <row r="14" spans="1:9" ht="57">
      <c r="A14" s="4">
        <f t="shared" si="0"/>
        <v>8</v>
      </c>
      <c r="B14" s="7" t="s">
        <v>31</v>
      </c>
      <c r="C14" s="8" t="s">
        <v>68</v>
      </c>
      <c r="D14" s="9">
        <v>1</v>
      </c>
      <c r="E14" s="9" t="s">
        <v>19</v>
      </c>
      <c r="F14" s="9" t="s">
        <v>20</v>
      </c>
    </row>
    <row r="15" spans="1:9" ht="85.5">
      <c r="A15" s="4">
        <f t="shared" si="0"/>
        <v>9</v>
      </c>
      <c r="B15" s="7" t="s">
        <v>69</v>
      </c>
      <c r="C15" s="8" t="s">
        <v>70</v>
      </c>
      <c r="D15" s="9">
        <v>1</v>
      </c>
      <c r="E15" s="9" t="s">
        <v>19</v>
      </c>
      <c r="F15" s="9" t="s">
        <v>20</v>
      </c>
    </row>
    <row r="16" spans="1:9" ht="71.25">
      <c r="A16" s="4">
        <f t="shared" si="0"/>
        <v>10</v>
      </c>
      <c r="B16" s="14" t="s">
        <v>32</v>
      </c>
      <c r="C16" s="8" t="s">
        <v>34</v>
      </c>
      <c r="D16" s="9">
        <v>1</v>
      </c>
      <c r="E16" s="9" t="s">
        <v>19</v>
      </c>
      <c r="F16" s="9" t="s">
        <v>20</v>
      </c>
    </row>
    <row r="17" spans="1:6" ht="42.75">
      <c r="A17" s="4">
        <f t="shared" si="0"/>
        <v>11</v>
      </c>
      <c r="B17" s="14" t="s">
        <v>32</v>
      </c>
      <c r="C17" s="15" t="s">
        <v>33</v>
      </c>
      <c r="D17" s="9">
        <v>2</v>
      </c>
      <c r="E17" s="9" t="s">
        <v>19</v>
      </c>
      <c r="F17" s="9" t="s">
        <v>20</v>
      </c>
    </row>
    <row r="18" spans="1:6" ht="42.75">
      <c r="A18" s="4">
        <f t="shared" si="0"/>
        <v>12</v>
      </c>
      <c r="B18" s="14" t="s">
        <v>44</v>
      </c>
      <c r="C18" s="15" t="s">
        <v>71</v>
      </c>
      <c r="D18" s="9" t="s">
        <v>12</v>
      </c>
      <c r="E18" s="9" t="s">
        <v>19</v>
      </c>
      <c r="F18" s="9" t="s">
        <v>20</v>
      </c>
    </row>
    <row r="19" spans="1:6" ht="42.75">
      <c r="A19" s="4">
        <f t="shared" si="0"/>
        <v>13</v>
      </c>
      <c r="B19" s="7" t="s">
        <v>30</v>
      </c>
      <c r="C19" s="8" t="s">
        <v>37</v>
      </c>
      <c r="D19" s="9">
        <v>2</v>
      </c>
      <c r="E19" s="9" t="s">
        <v>19</v>
      </c>
      <c r="F19" s="9" t="s">
        <v>20</v>
      </c>
    </row>
    <row r="20" spans="1:6" ht="42.75">
      <c r="A20" s="4">
        <f t="shared" si="0"/>
        <v>14</v>
      </c>
      <c r="B20" s="7" t="s">
        <v>72</v>
      </c>
      <c r="C20" s="8" t="s">
        <v>73</v>
      </c>
      <c r="D20" s="9" t="s">
        <v>12</v>
      </c>
      <c r="E20" s="9" t="s">
        <v>19</v>
      </c>
      <c r="F20" s="12" t="s">
        <v>67</v>
      </c>
    </row>
    <row r="21" spans="1:6" ht="42.75">
      <c r="A21" s="4">
        <f t="shared" si="0"/>
        <v>15</v>
      </c>
      <c r="B21" s="7" t="s">
        <v>52</v>
      </c>
      <c r="C21" s="8" t="s">
        <v>53</v>
      </c>
      <c r="D21" s="9">
        <v>1</v>
      </c>
      <c r="E21" s="9" t="s">
        <v>19</v>
      </c>
      <c r="F21" s="9" t="s">
        <v>20</v>
      </c>
    </row>
    <row r="22" spans="1:6" ht="71.25">
      <c r="A22" s="4">
        <f t="shared" si="0"/>
        <v>16</v>
      </c>
      <c r="B22" s="19" t="s">
        <v>62</v>
      </c>
      <c r="C22" s="16" t="s">
        <v>63</v>
      </c>
      <c r="D22" s="9" t="s">
        <v>12</v>
      </c>
      <c r="E22" s="9" t="s">
        <v>19</v>
      </c>
      <c r="F22" s="9" t="s">
        <v>20</v>
      </c>
    </row>
    <row r="23" spans="1:6" ht="42.75">
      <c r="A23" s="4">
        <f t="shared" si="0"/>
        <v>17</v>
      </c>
      <c r="B23" s="7" t="s">
        <v>82</v>
      </c>
      <c r="C23" s="8" t="s">
        <v>15</v>
      </c>
      <c r="D23" s="9">
        <v>1</v>
      </c>
      <c r="E23" s="9" t="s">
        <v>19</v>
      </c>
      <c r="F23" s="9" t="s">
        <v>20</v>
      </c>
    </row>
    <row r="24" spans="1:6" ht="42.75">
      <c r="A24" s="4">
        <f>A23+1</f>
        <v>18</v>
      </c>
      <c r="B24" s="7" t="s">
        <v>83</v>
      </c>
      <c r="C24" s="8" t="s">
        <v>8</v>
      </c>
      <c r="D24" s="9">
        <v>1</v>
      </c>
      <c r="E24" s="9" t="s">
        <v>19</v>
      </c>
      <c r="F24" s="9" t="s">
        <v>20</v>
      </c>
    </row>
    <row r="25" spans="1:6" ht="42.75">
      <c r="A25" s="4">
        <f>A24+1</f>
        <v>19</v>
      </c>
      <c r="B25" s="14" t="s">
        <v>46</v>
      </c>
      <c r="C25" s="8" t="s">
        <v>45</v>
      </c>
      <c r="D25" s="9">
        <v>1</v>
      </c>
      <c r="E25" s="9" t="s">
        <v>19</v>
      </c>
      <c r="F25" s="9" t="s">
        <v>20</v>
      </c>
    </row>
    <row r="26" spans="1:6" ht="28.5">
      <c r="A26" s="4">
        <f t="shared" si="0"/>
        <v>20</v>
      </c>
      <c r="B26" s="14" t="s">
        <v>78</v>
      </c>
      <c r="C26" s="15" t="s">
        <v>40</v>
      </c>
      <c r="D26" s="9">
        <v>1</v>
      </c>
      <c r="E26" s="9" t="s">
        <v>19</v>
      </c>
      <c r="F26" s="9" t="s">
        <v>20</v>
      </c>
    </row>
    <row r="27" spans="1:6" ht="28.5">
      <c r="A27" s="4">
        <f t="shared" si="0"/>
        <v>21</v>
      </c>
      <c r="B27" s="7" t="s">
        <v>79</v>
      </c>
      <c r="C27" s="8" t="s">
        <v>9</v>
      </c>
      <c r="D27" s="9">
        <v>2</v>
      </c>
      <c r="E27" s="9" t="s">
        <v>19</v>
      </c>
      <c r="F27" s="9" t="s">
        <v>20</v>
      </c>
    </row>
    <row r="28" spans="1:6" ht="42.75">
      <c r="A28" s="4">
        <f t="shared" si="0"/>
        <v>22</v>
      </c>
      <c r="B28" s="7" t="s">
        <v>80</v>
      </c>
      <c r="C28" s="8" t="s">
        <v>10</v>
      </c>
      <c r="D28" s="9" t="s">
        <v>12</v>
      </c>
      <c r="E28" s="9" t="s">
        <v>19</v>
      </c>
      <c r="F28" s="9" t="s">
        <v>20</v>
      </c>
    </row>
    <row r="29" spans="1:6" ht="114">
      <c r="A29" s="4">
        <f t="shared" si="0"/>
        <v>23</v>
      </c>
      <c r="B29" s="14" t="s">
        <v>38</v>
      </c>
      <c r="C29" s="15" t="s">
        <v>39</v>
      </c>
      <c r="D29" s="9">
        <v>2</v>
      </c>
      <c r="E29" s="9" t="s">
        <v>19</v>
      </c>
      <c r="F29" s="9" t="s">
        <v>20</v>
      </c>
    </row>
    <row r="30" spans="1:6" ht="42.75">
      <c r="A30" s="4">
        <f t="shared" si="0"/>
        <v>24</v>
      </c>
      <c r="B30" s="14" t="s">
        <v>41</v>
      </c>
      <c r="C30" s="15" t="s">
        <v>42</v>
      </c>
      <c r="D30" s="9" t="s">
        <v>12</v>
      </c>
      <c r="E30" s="9" t="s">
        <v>19</v>
      </c>
      <c r="F30" s="9" t="s">
        <v>20</v>
      </c>
    </row>
    <row r="31" spans="1:6" ht="42.75">
      <c r="A31" s="4">
        <f t="shared" si="0"/>
        <v>25</v>
      </c>
      <c r="B31" s="7" t="s">
        <v>81</v>
      </c>
      <c r="C31" s="8" t="s">
        <v>29</v>
      </c>
      <c r="D31" s="9" t="s">
        <v>12</v>
      </c>
      <c r="E31" s="9" t="s">
        <v>19</v>
      </c>
      <c r="F31" s="9" t="s">
        <v>20</v>
      </c>
    </row>
    <row r="32" spans="1:6" ht="71.25">
      <c r="A32" s="4">
        <f t="shared" si="0"/>
        <v>26</v>
      </c>
      <c r="B32" s="14" t="s">
        <v>47</v>
      </c>
      <c r="C32" s="15" t="s">
        <v>75</v>
      </c>
      <c r="D32" s="9" t="s">
        <v>12</v>
      </c>
      <c r="E32" s="9" t="s">
        <v>19</v>
      </c>
      <c r="F32" s="9" t="s">
        <v>74</v>
      </c>
    </row>
    <row r="33" spans="1:6" ht="57">
      <c r="A33" s="4">
        <f t="shared" si="0"/>
        <v>27</v>
      </c>
      <c r="B33" s="14" t="s">
        <v>48</v>
      </c>
      <c r="C33" s="10" t="s">
        <v>59</v>
      </c>
      <c r="D33" s="9" t="s">
        <v>12</v>
      </c>
      <c r="E33" s="9" t="s">
        <v>19</v>
      </c>
      <c r="F33" s="9" t="s">
        <v>74</v>
      </c>
    </row>
    <row r="34" spans="1:6" ht="42.75">
      <c r="A34" s="4">
        <f t="shared" si="0"/>
        <v>28</v>
      </c>
      <c r="B34" s="14" t="s">
        <v>57</v>
      </c>
      <c r="C34" s="10" t="s">
        <v>58</v>
      </c>
      <c r="D34" s="9" t="s">
        <v>12</v>
      </c>
      <c r="E34" s="9" t="s">
        <v>19</v>
      </c>
      <c r="F34" s="9" t="s">
        <v>74</v>
      </c>
    </row>
    <row r="35" spans="1:6" ht="57">
      <c r="A35" s="4">
        <f t="shared" si="0"/>
        <v>29</v>
      </c>
      <c r="B35" s="14" t="s">
        <v>55</v>
      </c>
      <c r="C35" s="15" t="s">
        <v>56</v>
      </c>
      <c r="D35" s="9" t="s">
        <v>12</v>
      </c>
      <c r="E35" s="9" t="s">
        <v>19</v>
      </c>
      <c r="F35" s="9" t="s">
        <v>74</v>
      </c>
    </row>
    <row r="36" spans="1:6" ht="71.25">
      <c r="A36" s="4">
        <f t="shared" si="0"/>
        <v>30</v>
      </c>
      <c r="B36" s="14" t="s">
        <v>64</v>
      </c>
      <c r="C36" s="10" t="s">
        <v>65</v>
      </c>
      <c r="D36" s="9" t="s">
        <v>12</v>
      </c>
      <c r="E36" s="9" t="s">
        <v>19</v>
      </c>
      <c r="F36" s="9" t="s">
        <v>74</v>
      </c>
    </row>
    <row r="37" spans="1:6" ht="57">
      <c r="A37" s="4">
        <f t="shared" si="0"/>
        <v>31</v>
      </c>
      <c r="B37" s="14" t="s">
        <v>54</v>
      </c>
      <c r="C37" s="10" t="s">
        <v>60</v>
      </c>
      <c r="D37" s="9" t="s">
        <v>12</v>
      </c>
      <c r="E37" s="9" t="s">
        <v>19</v>
      </c>
      <c r="F37" s="9" t="s">
        <v>74</v>
      </c>
    </row>
    <row r="38" spans="1:6" ht="42.75">
      <c r="A38" s="4">
        <f t="shared" si="0"/>
        <v>32</v>
      </c>
      <c r="B38" s="14" t="s">
        <v>28</v>
      </c>
      <c r="C38" s="10" t="s">
        <v>61</v>
      </c>
      <c r="D38" s="9" t="s">
        <v>12</v>
      </c>
      <c r="E38" s="9" t="s">
        <v>19</v>
      </c>
      <c r="F38" s="9" t="s">
        <v>74</v>
      </c>
    </row>
  </sheetData>
  <mergeCells count="3">
    <mergeCell ref="C3:F3"/>
    <mergeCell ref="A1:F1"/>
    <mergeCell ref="C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Enriquez</dc:creator>
  <cp:lastModifiedBy>Xavier Enriquez</cp:lastModifiedBy>
  <dcterms:created xsi:type="dcterms:W3CDTF">2026-07-24T05:40:54Z</dcterms:created>
  <dcterms:modified xsi:type="dcterms:W3CDTF">2026-07-24T07:03:45Z</dcterms:modified>
</cp:coreProperties>
</file>